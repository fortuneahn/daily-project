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표" sheetId="1" state="visible" r:id="rId1"/>
    <sheet xmlns:r="http://schemas.openxmlformats.org/officeDocument/2006/relationships" name="RadarBox·Cirium 추가조사" sheetId="2" state="visible" r:id="rId2"/>
    <sheet xmlns:r="http://schemas.openxmlformats.org/officeDocument/2006/relationships" name="지역 커버리지" sheetId="3" state="visible" r:id="rId3"/>
    <sheet xmlns:r="http://schemas.openxmlformats.org/officeDocument/2006/relationships" name="KCNAIR 적용 시나리오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-"/>
    <numFmt numFmtId="165" formatCode="#,##0;(#,##0);-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</font>
    <font>
      <name val="Arial"/>
      <b val="1"/>
      <color rgb="000000FF"/>
    </font>
    <font>
      <name val="Arial"/>
      <sz val="9"/>
    </font>
    <font>
      <name val="Arial"/>
      <b val="1"/>
      <color rgb="00FFFFFF"/>
    </font>
    <font>
      <name val="Arial"/>
      <color rgb="00000000"/>
      <sz val="10"/>
    </font>
    <font>
      <name val="Arial"/>
      <color rgb="000000FF"/>
      <sz val="10"/>
    </font>
    <font>
      <name val="Arial"/>
      <sz val="10"/>
    </font>
    <font>
      <name val="Arial"/>
      <color rgb="00008000"/>
      <sz val="10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 wrapText="1"/>
    </xf>
    <xf numFmtId="165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164" fontId="7" fillId="4" borderId="1" applyAlignment="1" pivotButton="0" quotePrefix="0" xfId="0">
      <alignment vertical="top" wrapText="1"/>
    </xf>
    <xf numFmtId="165" fontId="9" fillId="4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 wrapText="1"/>
    </xf>
    <xf numFmtId="0" fontId="6" fillId="3" borderId="1" pivotButton="0" quotePrefix="0" xfId="0"/>
    <xf numFmtId="165" fontId="10" fillId="0" borderId="1" applyAlignment="1" pivotButton="0" quotePrefix="0" xfId="0">
      <alignment vertical="top" wrapText="1"/>
    </xf>
    <xf numFmtId="165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6" customWidth="1" min="2" max="2"/>
    <col width="22" customWidth="1" min="3" max="3"/>
    <col width="48" customWidth="1" min="4" max="4"/>
    <col width="44" customWidth="1" min="5" max="5"/>
    <col width="26" customWidth="1" min="6" max="6"/>
    <col width="8" customWidth="1" min="7" max="7"/>
    <col width="12" customWidth="1" min="8" max="8"/>
    <col width="14" customWidth="1" min="9" max="9"/>
    <col width="14" customWidth="1" min="10" max="10"/>
    <col width="14" customWidth="1" min="11" max="11"/>
    <col width="44" customWidth="1" min="12" max="12"/>
    <col width="44" customWidth="1" min="13" max="13"/>
    <col width="50" customWidth="1" min="14" max="14"/>
  </cols>
  <sheetData>
    <row r="1">
      <c r="A1" s="1" t="inlineStr">
        <is>
          <t>항공기 실시간 모니터링 솔루션 비교 (KCNAIR OCC 검토용)</t>
        </is>
      </c>
    </row>
    <row r="2">
      <c r="A2" s="2" t="inlineStr">
        <is>
          <t>작성일 2026-10-20 / 공식 가격 페이지 기준, USD, 세금 제외</t>
        </is>
      </c>
    </row>
    <row r="3">
      <c r="A3" s="3" t="inlineStr">
        <is>
          <t>환율 가정 (원/USD)</t>
        </is>
      </c>
      <c r="B3" s="4" t="n">
        <v>1400</v>
      </c>
      <c r="C3" s="5" t="inlineStr">
        <is>
          <t>← 노란 셀(환율)만 수정하면 원화 환산이 갱신됩니다. 1,400원은 가정값이며 실제 환율이 아닙니다.</t>
        </is>
      </c>
    </row>
    <row r="5" ht="30" customHeight="1">
      <c r="A5" s="6" t="inlineStr">
        <is>
          <t>업체</t>
        </is>
      </c>
      <c r="B5" s="6" t="inlineStr">
        <is>
          <t>상품</t>
        </is>
      </c>
      <c r="C5" s="6" t="inlineStr">
        <is>
          <t>용도</t>
        </is>
      </c>
      <c r="D5" s="6" t="inlineStr">
        <is>
          <t>장점</t>
        </is>
      </c>
      <c r="E5" s="6" t="inlineStr">
        <is>
          <t>단점</t>
        </is>
      </c>
      <c r="F5" s="6" t="inlineStr">
        <is>
          <t>가격 표기(원문)</t>
        </is>
      </c>
      <c r="G5" s="6" t="inlineStr">
        <is>
          <t>과금 단위</t>
        </is>
      </c>
      <c r="H5" s="6" t="inlineStr">
        <is>
          <t>단가 (USD)</t>
        </is>
      </c>
      <c r="I5" s="6" t="inlineStr">
        <is>
          <t>연간 비용 (USD)</t>
        </is>
      </c>
      <c r="J5" s="6" t="inlineStr">
        <is>
          <t>연간 비용 (만원)</t>
        </is>
      </c>
      <c r="K5" s="6" t="inlineStr">
        <is>
          <t>가격 상태</t>
        </is>
      </c>
      <c r="L5" s="6" t="inlineStr">
        <is>
          <t>출처 URL</t>
        </is>
      </c>
      <c r="M5" s="6" t="inlineStr">
        <is>
          <t>전 세계 커버리지 범위</t>
        </is>
      </c>
      <c r="N5" s="6" t="inlineStr">
        <is>
          <t>중국 커버리지 (요약)</t>
        </is>
      </c>
    </row>
    <row r="6">
      <c r="A6" s="7" t="inlineStr">
        <is>
          <t>Flightradar24</t>
        </is>
      </c>
      <c r="B6" s="7" t="inlineStr">
        <is>
          <t>Business (웹·앱 구독)</t>
        </is>
      </c>
      <c r="C6" s="7" t="inlineStr">
        <is>
          <t>사람이 지도로 보는 모니터링</t>
        </is>
      </c>
      <c r="D6" s="7" t="inlineStr">
        <is>
          <t>상업적 사용 허용 플랜. 플릿 뷰, 북마크 60개, 3년 이력. 7일 무료 체험, 청구서 결제 가능.</t>
        </is>
      </c>
      <c r="E6" s="7" t="inlineStr">
        <is>
          <t>계정 단위 이용이라 자사 시스템 연동 없음. 북마크 60개 한도. 운항통제 공식 도구 아님.</t>
        </is>
      </c>
      <c r="F6" s="7" t="inlineStr">
        <is>
          <t>$499.99/년 (월 결제 시 연 $599.88)</t>
        </is>
      </c>
      <c r="G6" s="7" t="inlineStr">
        <is>
          <t>연</t>
        </is>
      </c>
      <c r="H6" s="8" t="n">
        <v>499.99</v>
      </c>
      <c r="I6" s="9">
        <f>IF(H6="","견적 필요",IF(G6="월",H6*12,H6))</f>
        <v/>
      </c>
      <c r="J6" s="9">
        <f>IF(ISNUMBER(I6),ROUND(I6*$B$3/10000,0),"견적 필요")</f>
        <v/>
      </c>
      <c r="K6" s="10" t="inlineStr">
        <is>
          <t>공개</t>
        </is>
      </c>
      <c r="L6" s="10" t="inlineStr">
        <is>
          <t>https://www.flightradar24.com/premium/</t>
        </is>
      </c>
      <c r="M6" s="10" t="inlineStr">
        <is>
          <t>지상 ADS-B 5만+ 수신기 + MLAT + 위성 ADS-B(Aireon, 2026.2 추가) + 북미·호주 레이더. 위성은 지상망 밖 지역 보완.</t>
        </is>
      </c>
      <c r="N6" s="11" t="inlineStr">
        <is>
          <t>일부 (확인 불가)</t>
        </is>
      </c>
    </row>
    <row r="7">
      <c r="A7" s="7" t="inlineStr">
        <is>
          <t>Flightradar24</t>
        </is>
      </c>
      <c r="B7" s="7" t="inlineStr">
        <is>
          <t>API Essential</t>
        </is>
      </c>
      <c r="C7" s="7" t="inlineStr">
        <is>
          <t>사내 시스템 연동</t>
        </is>
      </c>
      <c r="D7" s="7" t="inlineStr">
        <is>
          <t>월 666,000 크레딧(Explorer $9/월은 60,000), 이력 2년. 위치·이력 API. 2026.12.31까지 월 크레딧 2배 프로모션.</t>
        </is>
      </c>
      <c r="E7" s="7" t="inlineStr">
        <is>
          <t>상업용은 Advanced 권장으로 안내. 크레딧 단가가 엔드포인트별로 다름. 개발 필요.</t>
        </is>
      </c>
      <c r="F7" s="7" t="inlineStr">
        <is>
          <t>$90/월</t>
        </is>
      </c>
      <c r="G7" s="7" t="inlineStr">
        <is>
          <t>월</t>
        </is>
      </c>
      <c r="H7" s="8" t="n">
        <v>90</v>
      </c>
      <c r="I7" s="9">
        <f>IF(H7="","견적 필요",IF(G7="월",H7*12,H7))</f>
        <v/>
      </c>
      <c r="J7" s="9">
        <f>IF(ISNUMBER(I7),ROUND(I7*$B$3/10000,0),"견적 필요")</f>
        <v/>
      </c>
      <c r="K7" s="10" t="inlineStr">
        <is>
          <t>공개</t>
        </is>
      </c>
      <c r="L7" s="10" t="inlineStr">
        <is>
          <t>https://fr24api.flightradar24.com/subscriptions-and-credits</t>
        </is>
      </c>
      <c r="M7" s="10" t="inlineStr">
        <is>
          <t>지상 ADS-B 5만+ 수신기 + MLAT + 위성 ADS-B(Aireon, 2026.2 추가) + 북미·호주 레이더. 위성은 지상망 밖 지역 보완.</t>
        </is>
      </c>
      <c r="N7" s="11" t="inlineStr">
        <is>
          <t>일부 (확인 불가)</t>
        </is>
      </c>
    </row>
    <row r="8">
      <c r="A8" s="7" t="inlineStr">
        <is>
          <t>Flightradar24</t>
        </is>
      </c>
      <c r="B8" s="7" t="inlineStr">
        <is>
          <t>API Advanced (상업용 권장)</t>
        </is>
      </c>
      <c r="C8" s="7" t="inlineStr">
        <is>
          <t>사내 시스템 연동</t>
        </is>
      </c>
      <c r="D8" s="7" t="inlineStr">
        <is>
          <t>월 810만 크레딧, 응답 제한 없음, 요청률 200, 이력 전체. 상업용에 적합하다고 명시.</t>
        </is>
      </c>
      <c r="E8" s="7" t="inlineStr">
        <is>
          <t>연 약 1,500만 원 수준. 개발 필요.</t>
        </is>
      </c>
      <c r="F8" s="7" t="inlineStr">
        <is>
          <t>$900/월</t>
        </is>
      </c>
      <c r="G8" s="7" t="inlineStr">
        <is>
          <t>월</t>
        </is>
      </c>
      <c r="H8" s="8" t="n">
        <v>900</v>
      </c>
      <c r="I8" s="9">
        <f>IF(H8="","견적 필요",IF(G8="월",H8*12,H8))</f>
        <v/>
      </c>
      <c r="J8" s="9">
        <f>IF(ISNUMBER(I8),ROUND(I8*$B$3/10000,0),"견적 필요")</f>
        <v/>
      </c>
      <c r="K8" s="10" t="inlineStr">
        <is>
          <t>공개</t>
        </is>
      </c>
      <c r="L8" s="10" t="inlineStr">
        <is>
          <t>https://fr24api.flightradar24.com/subscriptions-and-credits</t>
        </is>
      </c>
      <c r="M8" s="10" t="inlineStr">
        <is>
          <t>지상 ADS-B 5만+ 수신기 + MLAT + 위성 ADS-B(Aireon, 2026.2 추가) + 북미·호주 레이더. 위성은 지상망 밖 지역 보완.</t>
        </is>
      </c>
      <c r="N8" s="11" t="inlineStr">
        <is>
          <t>일부 (확인 불가)</t>
        </is>
      </c>
    </row>
    <row r="9">
      <c r="A9" s="7" t="inlineStr">
        <is>
          <t>FlightAware</t>
        </is>
      </c>
      <c r="B9" s="7" t="inlineStr">
        <is>
          <t>프리미엄 구독 Enterprise</t>
        </is>
      </c>
      <c r="C9" s="7" t="inlineStr">
        <is>
          <t>사람이 보는 플릿 추적</t>
        </is>
      </c>
      <c r="D9" s="7" t="inlineStr">
        <is>
          <t>플릿 추적·경보, 테일번호 표시, 8개월 이력.</t>
        </is>
      </c>
      <c r="E9" s="7" t="inlineStr">
        <is>
          <t>1명 사용자 기준. 소규모용 구독이며 공식 운항통제 도구 아님.</t>
        </is>
      </c>
      <c r="F9" s="7" t="inlineStr">
        <is>
          <t>$99.95/월</t>
        </is>
      </c>
      <c r="G9" s="7" t="inlineStr">
        <is>
          <t>월</t>
        </is>
      </c>
      <c r="H9" s="8" t="n">
        <v>99.95</v>
      </c>
      <c r="I9" s="9">
        <f>IF(H9="","견적 필요",IF(G9="월",H9*12,H9))</f>
        <v/>
      </c>
      <c r="J9" s="9">
        <f>IF(ISNUMBER(I9),ROUND(I9*$B$3/10000,0),"견적 필요")</f>
        <v/>
      </c>
      <c r="K9" s="10" t="inlineStr">
        <is>
          <t>공개</t>
        </is>
      </c>
      <c r="L9" s="10" t="inlineStr">
        <is>
          <t>https://www.flightaware.com/commercial/premium/</t>
        </is>
      </c>
      <c r="M9" s="10" t="inlineStr">
        <is>
          <t>지상 ADS-B 41,000+ 수신기 + 데이터링크·ACARS + 레이더. Aireon 위성은 AeroAPI Premium/Firehose에 포함(Standard 제외).</t>
        </is>
      </c>
      <c r="N9" s="11" t="inlineStr">
        <is>
          <t>일부 — 자사 ADS-B 페이지에 '중국(베이징·상하이·항저우·홍콩 제외) 커버리지 부족' 기재. Premium/Firehose는 Aireon 위성으로 보완 가능</t>
        </is>
      </c>
    </row>
    <row r="10">
      <c r="A10" s="7" t="inlineStr">
        <is>
          <t>FlightAware</t>
        </is>
      </c>
      <c r="B10" s="7" t="inlineStr">
        <is>
          <t>프리미엄 구독 Enterprise WX</t>
        </is>
      </c>
      <c r="C10" s="7" t="inlineStr">
        <is>
          <t>사람이 보는 플릿 추적 + 기상</t>
        </is>
      </c>
      <c r="D10" s="7" t="inlineStr">
        <is>
          <t>Enterprise 기능 + 실시간 기상 데이터.</t>
        </is>
      </c>
      <c r="E10" s="7" t="inlineStr">
        <is>
          <t>1명 사용자 기준.</t>
        </is>
      </c>
      <c r="F10" s="7" t="inlineStr">
        <is>
          <t>$149.95/월</t>
        </is>
      </c>
      <c r="G10" s="7" t="inlineStr">
        <is>
          <t>월</t>
        </is>
      </c>
      <c r="H10" s="8" t="n">
        <v>149.95</v>
      </c>
      <c r="I10" s="9">
        <f>IF(H10="","견적 필요",IF(G10="월",H10*12,H10))</f>
        <v/>
      </c>
      <c r="J10" s="9">
        <f>IF(ISNUMBER(I10),ROUND(I10*$B$3/10000,0),"견적 필요")</f>
        <v/>
      </c>
      <c r="K10" s="10" t="inlineStr">
        <is>
          <t>공개</t>
        </is>
      </c>
      <c r="L10" s="10" t="inlineStr">
        <is>
          <t>https://www.flightaware.com/commercial/premium/</t>
        </is>
      </c>
      <c r="M10" s="10" t="inlineStr">
        <is>
          <t>지상 ADS-B 41,000+ 수신기 + 데이터링크·ACARS + 레이더. Aireon 위성은 AeroAPI Premium/Firehose에 포함(Standard 제외).</t>
        </is>
      </c>
      <c r="N10" s="11" t="inlineStr">
        <is>
          <t>일부 — 자사 ADS-B 페이지에 '중국(베이징·상하이·항저우·홍콩 제외) 커버리지 부족' 기재. Premium/Firehose는 Aireon 위성으로 보완 가능</t>
        </is>
      </c>
    </row>
    <row r="11">
      <c r="A11" s="7" t="inlineStr">
        <is>
          <t>FlightAware</t>
        </is>
      </c>
      <c r="B11" s="7" t="inlineStr">
        <is>
          <t>AeroAPI Standard</t>
        </is>
      </c>
      <c r="C11" s="7" t="inlineStr">
        <is>
          <t>사내 시스템 연동</t>
        </is>
      </c>
      <c r="D11" s="7" t="inlineStr">
        <is>
          <t>이력(2011~), 알림(출발·도착·결항·홀딩 감지), 이메일 지원. 사용량 과금.</t>
        </is>
      </c>
      <c r="E11" s="7" t="inlineStr">
        <is>
          <t>월 최소 $100 + 쿼리 요금(최소금액 이상은 사용량에 따라 증가). B2B 상업용은 Premium 필요.</t>
        </is>
      </c>
      <c r="F11" s="7" t="inlineStr">
        <is>
          <t>월 최소 $100 + 쿼리 요금</t>
        </is>
      </c>
      <c r="G11" s="7" t="inlineStr">
        <is>
          <t>월</t>
        </is>
      </c>
      <c r="H11" s="8" t="n">
        <v>100</v>
      </c>
      <c r="I11" s="9">
        <f>IF(H11="","견적 필요",IF(G11="월",H11*12,H11))</f>
        <v/>
      </c>
      <c r="J11" s="9">
        <f>IF(ISNUMBER(I11),ROUND(I11*$B$3/10000,0),"견적 필요")</f>
        <v/>
      </c>
      <c r="K11" s="10" t="inlineStr">
        <is>
          <t>공개(최소금액만)</t>
        </is>
      </c>
      <c r="L11" s="10" t="inlineStr">
        <is>
          <t>https://www.flightaware.com/commercial/aeroapi/</t>
        </is>
      </c>
      <c r="M11" s="10" t="inlineStr">
        <is>
          <t>지상 ADS-B 41,000+ 수신기 + 데이터링크·ACARS + 레이더(Aireon 위성 제외).</t>
        </is>
      </c>
      <c r="N11" s="11" t="inlineStr">
        <is>
          <t>일부 — 자사 ADS-B 페이지에 '중국(베이징·상하이·항저우·홍콩 제외) 커버리지 부족' 기재.</t>
        </is>
      </c>
    </row>
    <row r="12">
      <c r="A12" s="7" t="inlineStr">
        <is>
          <t>FlightAware</t>
        </is>
      </c>
      <c r="B12" s="7" t="inlineStr">
        <is>
          <t>AeroAPI Premium</t>
        </is>
      </c>
      <c r="C12" s="7" t="inlineStr">
        <is>
          <t>사내 시스템 연동 + 예측</t>
        </is>
      </c>
      <c r="D12" s="7" t="inlineStr">
        <is>
          <t>Aireon 우주기반 ADS-B, Foresight 예측, 전화 지원. B2B 상업용 허용.</t>
        </is>
      </c>
      <c r="E12" s="7" t="inlineStr">
        <is>
          <t>월 최소 $1,000 + 쿼리 요금. 일부 기능은 문의 후 활성화.</t>
        </is>
      </c>
      <c r="F12" s="7" t="inlineStr">
        <is>
          <t>월 최소 $1,000 + 쿼리 요금</t>
        </is>
      </c>
      <c r="G12" s="7" t="inlineStr">
        <is>
          <t>월</t>
        </is>
      </c>
      <c r="H12" s="8" t="n">
        <v>1000</v>
      </c>
      <c r="I12" s="9">
        <f>IF(H12="","견적 필요",IF(G12="월",H12*12,H12))</f>
        <v/>
      </c>
      <c r="J12" s="9">
        <f>IF(ISNUMBER(I12),ROUND(I12*$B$3/10000,0),"견적 필요")</f>
        <v/>
      </c>
      <c r="K12" s="10" t="inlineStr">
        <is>
          <t>공개(최소금액만)</t>
        </is>
      </c>
      <c r="L12" s="10" t="inlineStr">
        <is>
          <t>https://www.flightaware.com/commercial/aeroapi/</t>
        </is>
      </c>
      <c r="M12" s="10" t="inlineStr">
        <is>
          <t>지상 ADS-B 41,000+ 수신기 + 데이터링크·ACARS + 레이더. Aireon 위성은 AeroAPI Premium/Firehose에 포함(Standard 제외).</t>
        </is>
      </c>
      <c r="N12" s="11" t="inlineStr">
        <is>
          <t>일부 — 자사 ADS-B 페이지에 '중국(베이징·상하이·항저우·홍콩 제외) 커버리지 부족' 기재. Premium/Firehose는 Aireon 위성으로 보완 가능</t>
        </is>
      </c>
    </row>
    <row r="13">
      <c r="A13" s="12" t="inlineStr">
        <is>
          <t>FlightAware</t>
        </is>
      </c>
      <c r="B13" s="12" t="inlineStr">
        <is>
          <t>Firehose (+Foresight)</t>
        </is>
      </c>
      <c r="C13" s="12" t="inlineStr">
        <is>
          <t>스트리밍 실시간 연동</t>
        </is>
      </c>
      <c r="D13" s="12" t="inlineStr">
        <is>
          <t>지상 ADS-B 41,000개+ Aireon 위성·ACARS·레이더 융합. ETA·택시아웃·활주로 예측. 무료 체험.</t>
        </is>
      </c>
      <c r="E13" s="12" t="inlineStr">
        <is>
          <t>가격 비공개. 개발 인력 필요.</t>
        </is>
      </c>
      <c r="F13" s="12" t="inlineStr">
        <is>
          <t>문의(Request pricing)</t>
        </is>
      </c>
      <c r="G13" s="12" t="inlineStr">
        <is>
          <t>-</t>
        </is>
      </c>
      <c r="H13" s="13" t="n"/>
      <c r="I13" s="14">
        <f>IF(H13="","견적 필요",IF(G13="월",H13*12,H13))</f>
        <v/>
      </c>
      <c r="J13" s="14">
        <f>IF(ISNUMBER(I13),ROUND(I13*$B$3/10000,0),"견적 필요")</f>
        <v/>
      </c>
      <c r="K13" s="15" t="inlineStr">
        <is>
          <t>견적 필요</t>
        </is>
      </c>
      <c r="L13" s="15" t="inlineStr">
        <is>
          <t>https://www.flightaware.com/commercial/firehose/</t>
        </is>
      </c>
      <c r="M13" s="10" t="inlineStr">
        <is>
          <t>지상 ADS-B 41,000+ 수신기 + 데이터링크·ACARS + 레이더. Aireon 위성은 AeroAPI Premium/Firehose에 포함(Standard 제외).</t>
        </is>
      </c>
      <c r="N13" s="11" t="inlineStr">
        <is>
          <t>일부 — 자사 ADS-B 페이지에 '중국(베이징·상하이·항저우·홍콩 제외) 커버리지 부족' 기재. Premium/Firehose는 Aireon 위성으로 보완 가능</t>
        </is>
      </c>
    </row>
    <row r="14">
      <c r="A14" s="7" t="inlineStr">
        <is>
          <t>AirNav Radar (구 RadarBox)</t>
        </is>
      </c>
      <c r="B14" s="7" t="inlineStr">
        <is>
          <t>Business (웹·앱 구독)</t>
        </is>
      </c>
      <c r="C14" s="7" t="inlineStr">
        <is>
          <t>사람이 지도로 보는 모니터링</t>
        </is>
      </c>
      <c r="D14" s="7" t="inlineStr">
        <is>
          <t>연 $399.50로 전문가 팀용 플랜. 이력 365일, 재생 12개월, 항적 CSV/GeoJSON/KML 다운로드, 항공기 가동 통계. 7일 무료 체험.</t>
        </is>
      </c>
      <c r="E14" s="7" t="inlineStr">
        <is>
          <t>상업적 사용 약관은 확인하지 못함. 계정 단위 이용. 월 결제 가격은 페이지에서 확인하지 못함.</t>
        </is>
      </c>
      <c r="F14" s="7" t="inlineStr">
        <is>
          <t>$399.50/년 (연 결제 16% 할인 표기)</t>
        </is>
      </c>
      <c r="G14" s="7" t="inlineStr">
        <is>
          <t>연</t>
        </is>
      </c>
      <c r="H14" s="8" t="n">
        <v>399.5</v>
      </c>
      <c r="I14" s="9">
        <f>IF(H14="","견적 필요",IF(G14="월",H14*12,H14))</f>
        <v/>
      </c>
      <c r="J14" s="9">
        <f>IF(ISNUMBER(I14),ROUND(I14*$B$3/10000,0),"견적 필요")</f>
        <v/>
      </c>
      <c r="K14" s="10" t="inlineStr">
        <is>
          <t>공개</t>
        </is>
      </c>
      <c r="L14" s="10" t="inlineStr">
        <is>
          <t>https://www.airnavradar.com/subscribe</t>
        </is>
      </c>
      <c r="M14" s="10" t="inlineStr">
        <is>
          <t>지상·위성 ADS-B, ADS-C, HFDL, FAA SWIM, EUROCONTROL, MLAT 등 다중 소스. 수신기 36,000+(앱스토어 표기).</t>
        </is>
      </c>
      <c r="N14" s="16" t="inlineStr">
        <is>
          <t>대부분 커버 주장 — 2021년 자사 블로그: 중국 커버 90%+, 중국 내 수신 유닛 200+ (지상+위성). 독립 검증 없음, 최신 수치 미확인</t>
        </is>
      </c>
    </row>
    <row r="15">
      <c r="A15" s="7" t="inlineStr">
        <is>
          <t>AirNav Radar (구 RadarBox)</t>
        </is>
      </c>
      <c r="B15" s="7" t="inlineStr">
        <is>
          <t>API Starter</t>
        </is>
      </c>
      <c r="C15" s="7" t="inlineStr">
        <is>
          <t>사내 시스템 연동</t>
        </is>
      </c>
      <c r="D15" s="7" t="inlineStr">
        <is>
          <t>월 10,000 크레딧, 크레딧당 1.2센트. 14일 체험, 24시간 지원.</t>
        </is>
      </c>
      <c r="E15" s="7" t="inlineStr">
        <is>
          <t>크레딧 소진 속도는 조회 유형에 따라 다름(미확인).</t>
        </is>
      </c>
      <c r="F15" s="7" t="inlineStr">
        <is>
          <t>$119.95/월</t>
        </is>
      </c>
      <c r="G15" s="7" t="inlineStr">
        <is>
          <t>월</t>
        </is>
      </c>
      <c r="H15" s="8" t="n">
        <v>119.95</v>
      </c>
      <c r="I15" s="9">
        <f>IF(H15="","견적 필요",IF(G15="월",H15*12,H15))</f>
        <v/>
      </c>
      <c r="J15" s="9">
        <f>IF(ISNUMBER(I15),ROUND(I15*$B$3/10000,0),"견적 필요")</f>
        <v/>
      </c>
      <c r="K15" s="10" t="inlineStr">
        <is>
          <t>공개</t>
        </is>
      </c>
      <c r="L15" s="10" t="inlineStr">
        <is>
          <t>https://www.airnavradar.com/api/pricing</t>
        </is>
      </c>
      <c r="M15" s="10" t="inlineStr">
        <is>
          <t>지상·위성 ADS-B, ADS-C, HFDL, FAA SWIM, EUROCONTROL, MLAT 등 다중 소스. 수신기 36,000+(앱스토어 표기).</t>
        </is>
      </c>
      <c r="N15" s="16" t="inlineStr">
        <is>
          <t>대부분 커버 주장 — 2021년 자사 블로그: 중국 커버 90%+, 중국 내 수신 유닛 200+ (지상+위성). 독립 검증 없음, 최신 수치 미확인</t>
        </is>
      </c>
    </row>
    <row r="16">
      <c r="A16" s="7" t="inlineStr">
        <is>
          <t>AirNav Radar (구 RadarBox)</t>
        </is>
      </c>
      <c r="B16" s="7" t="inlineStr">
        <is>
          <t>API Developer</t>
        </is>
      </c>
      <c r="C16" s="7" t="inlineStr">
        <is>
          <t>사내 시스템 연동</t>
        </is>
      </c>
      <c r="D16" s="7" t="inlineStr">
        <is>
          <t>월 50,000 크레딧, 크레딧당 1센트 미만.</t>
        </is>
      </c>
      <c r="E16" s="7" t="inlineStr">
        <is>
          <t>-</t>
        </is>
      </c>
      <c r="F16" s="7" t="inlineStr">
        <is>
          <t>$299.95/월</t>
        </is>
      </c>
      <c r="G16" s="7" t="inlineStr">
        <is>
          <t>월</t>
        </is>
      </c>
      <c r="H16" s="8" t="n">
        <v>299.95</v>
      </c>
      <c r="I16" s="9">
        <f>IF(H16="","견적 필요",IF(G16="월",H16*12,H16))</f>
        <v/>
      </c>
      <c r="J16" s="9">
        <f>IF(ISNUMBER(I16),ROUND(I16*$B$3/10000,0),"견적 필요")</f>
        <v/>
      </c>
      <c r="K16" s="10" t="inlineStr">
        <is>
          <t>공개</t>
        </is>
      </c>
      <c r="L16" s="10" t="inlineStr">
        <is>
          <t>https://www.airnavradar.com/api/pricing</t>
        </is>
      </c>
      <c r="M16" s="10" t="inlineStr">
        <is>
          <t>지상·위성 ADS-B, ADS-C, HFDL, FAA SWIM, EUROCONTROL, MLAT 등 다중 소스. 수신기 36,000+(앱스토어 표기).</t>
        </is>
      </c>
      <c r="N16" s="16" t="inlineStr">
        <is>
          <t>대부분 커버 주장 — 2021년 자사 블로그: 중국 커버 90%+, 중국 내 수신 유닛 200+ (지상+위성). 독립 검증 없음, 최신 수치 미확인</t>
        </is>
      </c>
    </row>
    <row r="17">
      <c r="A17" s="7" t="inlineStr">
        <is>
          <t>AirNav Radar (구 RadarBox)</t>
        </is>
      </c>
      <c r="B17" s="7" t="inlineStr">
        <is>
          <t>API Enterprise</t>
        </is>
      </c>
      <c r="C17" s="7" t="inlineStr">
        <is>
          <t>사내 시스템 연동</t>
        </is>
      </c>
      <c r="D17" s="7" t="inlineStr">
        <is>
          <t>월 250,000 크레딧, 크레딧당 0.5센트 미만, 온보딩 지원. 위성 ADS-B·ADS-C·HFDL 등 데이터 소스. 실시간은 TCP 소켓/Kafka로 전송. 최대 월 2천만 크레딧 맞춤 플랜.</t>
        </is>
      </c>
      <c r="E17" s="7" t="inlineStr">
        <is>
          <t>-</t>
        </is>
      </c>
      <c r="F17" s="7" t="inlineStr">
        <is>
          <t>$999.95/월</t>
        </is>
      </c>
      <c r="G17" s="7" t="inlineStr">
        <is>
          <t>월</t>
        </is>
      </c>
      <c r="H17" s="8" t="n">
        <v>999.95</v>
      </c>
      <c r="I17" s="9">
        <f>IF(H17="","견적 필요",IF(G17="월",H17*12,H17))</f>
        <v/>
      </c>
      <c r="J17" s="9">
        <f>IF(ISNUMBER(I17),ROUND(I17*$B$3/10000,0),"견적 필요")</f>
        <v/>
      </c>
      <c r="K17" s="10" t="inlineStr">
        <is>
          <t>공개</t>
        </is>
      </c>
      <c r="L17" s="10" t="inlineStr">
        <is>
          <t>https://www.airnavradar.com/api/pricing</t>
        </is>
      </c>
      <c r="M17" s="10" t="inlineStr">
        <is>
          <t>지상·위성 ADS-B, ADS-C, HFDL, FAA SWIM, EUROCONTROL, MLAT 등 다중 소스. 수신기 36,000+(앱스토어 표기).</t>
        </is>
      </c>
      <c r="N17" s="16" t="inlineStr">
        <is>
          <t>대부분 커버 주장 — 2021년 자사 블로그: 중국 커버 90%+, 중국 내 수신 유닛 200+ (지상+위성). 독립 검증 없음, 최신 수치 미확인</t>
        </is>
      </c>
    </row>
    <row r="18">
      <c r="A18" s="12" t="inlineStr">
        <is>
          <t>ADS-B Exchange</t>
        </is>
      </c>
      <c r="B18" s="12" t="inlineStr">
        <is>
          <t>Enterprise Data</t>
        </is>
      </c>
      <c r="C18" s="12" t="inlineStr">
        <is>
          <t>대규모 원시 데이터 스트림</t>
        </is>
      </c>
      <c r="D18" s="12" t="inlineStr">
        <is>
          <t>250ms 간격 실시간 위치. 항공화물·물류 활용 사례.</t>
        </is>
      </c>
      <c r="E18" s="12" t="inlineStr">
        <is>
          <t>공개 가격 없음(데모 요청). 항공사 운영 도구가 아니라 데이터 제공 중심.</t>
        </is>
      </c>
      <c r="F18" s="12" t="inlineStr">
        <is>
          <t>문의(Request a demo)</t>
        </is>
      </c>
      <c r="G18" s="12" t="inlineStr">
        <is>
          <t>-</t>
        </is>
      </c>
      <c r="H18" s="13" t="n"/>
      <c r="I18" s="14">
        <f>IF(H18="","견적 필요",IF(G18="월",H18*12,H18))</f>
        <v/>
      </c>
      <c r="J18" s="14">
        <f>IF(ISNUMBER(I18),ROUND(I18*$B$3/10000,0),"견적 필요")</f>
        <v/>
      </c>
      <c r="K18" s="15" t="inlineStr">
        <is>
          <t>견적 필요</t>
        </is>
      </c>
      <c r="L18" s="15" t="inlineStr">
        <is>
          <t>https://adsbexchange.com/data/</t>
        </is>
      </c>
      <c r="M18" s="10" t="inlineStr">
        <is>
          <t>커뮤니티 수신기 네트워크(필터링 없는 원본 ADS-B). 위성 소스 여부 미확인.</t>
        </is>
      </c>
      <c r="N18" s="11" t="inlineStr">
        <is>
          <t>미확인 — 중국 내 수신기 분포·단속 영향 확인 필요</t>
        </is>
      </c>
    </row>
    <row r="19">
      <c r="A19" s="12" t="inlineStr">
        <is>
          <t>Aireon</t>
        </is>
      </c>
      <c r="B19" s="12" t="inlineStr">
        <is>
          <t>Alert / Stream 등</t>
        </is>
      </c>
      <c r="C19" s="12" t="inlineStr">
        <is>
          <t>우주기반 ADS-B 위치</t>
        </is>
      </c>
      <c r="D19" s="12" t="inlineStr">
        <is>
          <t>위성 기반 대양·극지 커버리지. 항공사용 제품군 보유.</t>
        </is>
      </c>
      <c r="E19" s="12" t="inlineStr">
        <is>
          <t>공개 가격 없음. 위치 데이터 중심이라 운항 상태는 별도.</t>
        </is>
      </c>
      <c r="F19" s="12" t="inlineStr">
        <is>
          <t>문의</t>
        </is>
      </c>
      <c r="G19" s="12" t="inlineStr">
        <is>
          <t>-</t>
        </is>
      </c>
      <c r="H19" s="13" t="n"/>
      <c r="I19" s="14">
        <f>IF(H19="","견적 필요",IF(G19="월",H19*12,H19))</f>
        <v/>
      </c>
      <c r="J19" s="14">
        <f>IF(ISNUMBER(I19),ROUND(I19*$B$3/10000,0),"견적 필요")</f>
        <v/>
      </c>
      <c r="K19" s="15" t="inlineStr">
        <is>
          <t>견적 필요</t>
        </is>
      </c>
      <c r="L19" s="15" t="inlineStr">
        <is>
          <t>https://www.aireon.com/aireon-alert/</t>
        </is>
      </c>
      <c r="M19" s="10" t="inlineStr">
        <is>
          <t>위성 기반 ADS-B 글로벌 감시(FlightAware 소개 문구: '100% 글로벌', 1분 간격 위치). ADS-B Out 장착기만 대상.</t>
        </is>
      </c>
      <c r="N19" s="11" t="inlineStr">
        <is>
          <t>미확인 — 중국 공역 개별 제공 여부 공개 정보 없음</t>
        </is>
      </c>
    </row>
    <row r="20">
      <c r="A20" s="12" t="inlineStr">
        <is>
          <t>Cirium</t>
        </is>
      </c>
      <c r="B20" s="12" t="inlineStr">
        <is>
          <t>Sky API / Sky Stream (Flight Status &amp; Tracking)</t>
        </is>
      </c>
      <c r="C20" s="12" t="inlineStr">
        <is>
          <t>상태·위치·알림 연동</t>
        </is>
      </c>
      <c r="D20" s="12" t="inlineStr">
        <is>
          <t>항공사·공항 고객 다수. 600개+ 라이브 소스, 일 2,500만 건+ 갱신, 10년+ 이력, 활주로·게이트 ETA 예측. REST API와 AMQP Stream. 평가 계정(체험) 제공.</t>
        </is>
      </c>
      <c r="E20" s="12" t="inlineStr">
        <is>
          <t>가격 비공개. 커버리지가 '상용 여객편 95%+'로 표기되어 화물 전용기 커버리지는 별도 확인 필요.</t>
        </is>
      </c>
      <c r="F20" s="12" t="inlineStr">
        <is>
          <t>문의(Contact us / Schedule a demo)</t>
        </is>
      </c>
      <c r="G20" s="12" t="inlineStr">
        <is>
          <t>-</t>
        </is>
      </c>
      <c r="H20" s="13" t="n"/>
      <c r="I20" s="14">
        <f>IF(H20="","견적 필요",IF(G20="월",H20*12,H20))</f>
        <v/>
      </c>
      <c r="J20" s="14">
        <f>IF(ISNUMBER(I20),ROUND(I20*$B$3/10000,0),"견적 필요")</f>
        <v/>
      </c>
      <c r="K20" s="15" t="inlineStr">
        <is>
          <t>견적 필요</t>
        </is>
      </c>
      <c r="L20" s="15" t="inlineStr">
        <is>
          <t>https://www.cirium.com/data/flight-tracking-status/</t>
        </is>
      </c>
      <c r="M20" s="10" t="inlineStr">
        <is>
          <t>600+ 라이브 소스, 위성 기반 항적 항목 포함. 지역별 세부 미공개.</t>
        </is>
      </c>
      <c r="N20" s="11" t="inlineStr">
        <is>
          <t>미확인 — 지역별 커버리지는 영업 문의로 확인</t>
        </is>
      </c>
    </row>
    <row r="22">
      <c r="A22" s="5" t="inlineStr">
        <is>
          <t>※ 연간 비용: 월 과금은 단가×12, 연 과금은 그대로. AeroAPI는 '월 최소금액' 기준이며 실제 쿼리 사용량에 따라 더 높아질 수 있음.</t>
        </is>
      </c>
    </row>
    <row r="23">
      <c r="A23" s="5" t="inlineStr">
        <is>
          <t>※ 노란색 행은 가격 비공개로 견적이 필요한 항목. 단가 파란 글자는 공식 페이지에서 옮긴 입력값.</t>
        </is>
      </c>
    </row>
    <row r="24">
      <c r="A24" s="5" t="inlineStr">
        <is>
          <t>※ 이용약관(상업적 사용, 재판매, 최소 약정)은 대부분 읽지 않았음. 도입 전 약관 확인 필수.</t>
        </is>
      </c>
    </row>
    <row r="25">
      <c r="A25" s="5" t="inlineStr">
        <is>
          <t>※ 외부 ADS-B 기반 서비스는 참고용 위치 정보이며 항공법상 운항통제(비행감시)의 공식 수단이 아님. 자사 기체의 ACARS·데이터링크 및 운항통제 솔루션이 기본이고 이 서비스들은 보조 수단 (작성자 판단, 규정 조항 미확인).</t>
        </is>
      </c>
    </row>
    <row r="26">
      <c r="A26" s="5" t="inlineStr">
        <is>
          <t>※ 중국 커버리지: 업체 공식 자료와 보도 기반의 요약이며 실측이 아님. 업체 자료는 게시 시점이 오래된 것이 있음(근거는 '지역 커버리지' 시트). 도입 전 무료체험으로 실제 노선에서 직접 테스트할 것.</t>
        </is>
      </c>
    </row>
    <row r="27">
      <c r="A27" s="5" t="inlineStr">
        <is>
          <t>※ 출처: 각 업체 공식 사이트 (2026-10-20 접속), 환율 1,400원/USD는 가정값.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90" customWidth="1" min="3" max="3"/>
    <col width="12" customWidth="1" min="4" max="4"/>
    <col width="50" customWidth="1" min="5" max="5"/>
  </cols>
  <sheetData>
    <row r="1">
      <c r="A1" s="1" t="inlineStr">
        <is>
          <t>RadarBox(AirNav Radar)·Cirium 추가 조사 결과</t>
        </is>
      </c>
    </row>
    <row r="3">
      <c r="A3" s="17" t="inlineStr">
        <is>
          <t>업체</t>
        </is>
      </c>
      <c r="B3" s="17" t="inlineStr">
        <is>
          <t>항목</t>
        </is>
      </c>
      <c r="C3" s="17" t="inlineStr">
        <is>
          <t>확인 내용</t>
        </is>
      </c>
      <c r="D3" s="17" t="inlineStr">
        <is>
          <t>확인 상태</t>
        </is>
      </c>
      <c r="E3" s="17" t="inlineStr">
        <is>
          <t>출처 URL</t>
        </is>
      </c>
    </row>
    <row r="4">
      <c r="A4" s="10" t="inlineStr">
        <is>
          <t>AirNav Radar</t>
        </is>
      </c>
      <c r="B4" s="10" t="inlineStr">
        <is>
          <t>사명·도메인</t>
        </is>
      </c>
      <c r="C4" s="10" t="inlineStr">
        <is>
          <t>RadarBox는 airnavradar.com으로 이동. radarbox.com 요청은 airnavradar.com으로 리다이렉트됨. 이전에 시도한 commercial.radarbox.com은 연결 불가.</t>
        </is>
      </c>
      <c r="D4" s="10" t="inlineStr">
        <is>
          <t>확인</t>
        </is>
      </c>
      <c r="E4" s="10" t="inlineStr">
        <is>
          <t>https://www.airnavradar.com/</t>
        </is>
      </c>
    </row>
    <row r="5">
      <c r="A5" s="10" t="inlineStr">
        <is>
          <t>AirNav Radar</t>
        </is>
      </c>
      <c r="B5" s="10" t="inlineStr">
        <is>
          <t>웹 플랜 요금</t>
        </is>
      </c>
      <c r="C5" s="10" t="inlineStr">
        <is>
          <t>Spotter $24.50/년, Pilot $79.50/년, Business $399.50/년 (연 결제, 16% 할인 표기).</t>
        </is>
      </c>
      <c r="D5" s="10" t="inlineStr">
        <is>
          <t>확인</t>
        </is>
      </c>
      <c r="E5" s="10" t="inlineStr">
        <is>
          <t>https://www.airnavradar.com/subscribe</t>
        </is>
      </c>
    </row>
    <row r="6">
      <c r="A6" s="10" t="inlineStr">
        <is>
          <t>AirNav Radar</t>
        </is>
      </c>
      <c r="B6" s="10" t="inlineStr">
        <is>
          <t>Business 플랜 기능</t>
        </is>
      </c>
      <c r="C6" s="10" t="inlineStr">
        <is>
          <t>이력 365일, 재생 12개월, 광고 없음, 전체 지도 레이어·필터, 항공기 가동 통계, 항적 다운로드(CSV/GeoJSON/KML), 구름·강한 기상·바람·결빙 등 기상 레이어.</t>
        </is>
      </c>
      <c r="D6" s="10" t="inlineStr">
        <is>
          <t>확인</t>
        </is>
      </c>
      <c r="E6" s="10" t="inlineStr">
        <is>
          <t>https://www.airnavradar.com/subscribe</t>
        </is>
      </c>
    </row>
    <row r="7">
      <c r="A7" s="10" t="inlineStr">
        <is>
          <t>AirNav Radar</t>
        </is>
      </c>
      <c r="B7" s="10" t="inlineStr">
        <is>
          <t>무료 Business 플랜</t>
        </is>
      </c>
      <c r="C7" s="10" t="inlineStr">
        <is>
          <t>ADS-B 데이터를 AirNav에 공급(feeder)하면 Business 계정으로 자동 업그레이드된다고 FAQ에 안내됨.</t>
        </is>
      </c>
      <c r="D7" s="10" t="inlineStr">
        <is>
          <t>확인</t>
        </is>
      </c>
      <c r="E7" s="10" t="inlineStr">
        <is>
          <t>https://www.airnavradar.com/subscribe</t>
        </is>
      </c>
    </row>
    <row r="8">
      <c r="A8" s="10" t="inlineStr">
        <is>
          <t>AirNav Radar</t>
        </is>
      </c>
      <c r="B8" s="10" t="inlineStr">
        <is>
          <t>API 요금 (Credit-per-Result)</t>
        </is>
      </c>
      <c r="C8" s="10" t="inlineStr">
        <is>
          <t>Starter 10,000 크레딧 $119.95/월, Developer 50,000 크레딧 $299.95/월, Enterprise 250,000 크레딧 $999.95/월. 최대 월 2천만 크레딧 맞춤 플랜은 영업 문의. 전 플랜 14일 체험·24시간 지원.</t>
        </is>
      </c>
      <c r="D8" s="10" t="inlineStr">
        <is>
          <t>확인</t>
        </is>
      </c>
      <c r="E8" s="10" t="inlineStr">
        <is>
          <t>https://www.airnavradar.com/api/pricing</t>
        </is>
      </c>
    </row>
    <row r="9">
      <c r="A9" s="10" t="inlineStr">
        <is>
          <t>AirNav Radar</t>
        </is>
      </c>
      <c r="B9" s="10" t="inlineStr">
        <is>
          <t>API 데이터·전송 방식</t>
        </is>
      </c>
      <c r="C9" s="10" t="inlineStr">
        <is>
          <t>지상·위성 ADS-B, FAA SWIM, EUROCONTROL, Oceanic, MLAT, 위성 ADS-C, HFDL, FLIFO 등. 70개+ 데이터 필드. 실시간은 TCP 소켓 또는 Kafka, 이력은 다운로드 링크. JSON/XML/CSV.</t>
        </is>
      </c>
      <c r="D9" s="10" t="inlineStr">
        <is>
          <t>확인</t>
        </is>
      </c>
      <c r="E9" s="10" t="inlineStr">
        <is>
          <t>https://www.airnavradar.com/api/services</t>
        </is>
      </c>
    </row>
    <row r="10">
      <c r="A10" s="15" t="inlineStr">
        <is>
          <t>AirNav Radar</t>
        </is>
      </c>
      <c r="B10" s="15" t="inlineStr">
        <is>
          <t>미확인 사항</t>
        </is>
      </c>
      <c r="C10" s="15" t="inlineStr">
        <is>
          <t>웹 Business 플랜의 상업적 이용 약관, 월 결제 가격, 'Professional Solutions'(airnavsystems.com)의 플릿 추적 제품 가격, 화물 전용기 커버리지.</t>
        </is>
      </c>
      <c r="D10" s="15" t="inlineStr">
        <is>
          <t>미확인</t>
        </is>
      </c>
      <c r="E10" s="15" t="inlineStr">
        <is>
          <t>https://www.airnavsystems.com/</t>
        </is>
      </c>
    </row>
    <row r="11">
      <c r="A11" s="10" t="inlineStr">
        <is>
          <t>Cirium</t>
        </is>
      </c>
      <c r="B11" s="10" t="inlineStr">
        <is>
          <t>회사·고객</t>
        </is>
      </c>
      <c r="C11" s="10" t="inlineStr">
        <is>
          <t>LexisNexis Risk Solutions(RELX) 계열. 고객 1,600곳+ 표기. 항공사 사례로 Condor(이력·스케줄·실시간 데이터)와 ANA 소개. 한국어 사이트(/kr/) 있음.</t>
        </is>
      </c>
      <c r="D11" s="10" t="inlineStr">
        <is>
          <t>확인</t>
        </is>
      </c>
      <c r="E11" s="10" t="inlineStr">
        <is>
          <t>https://www.cirium.com/</t>
        </is>
      </c>
    </row>
    <row r="12">
      <c r="A12" s="10" t="inlineStr">
        <is>
          <t>Cirium</t>
        </is>
      </c>
      <c r="B12" s="10" t="inlineStr">
        <is>
          <t>Flight Status &amp; Tracking 사양</t>
        </is>
      </c>
      <c r="C12" s="10" t="inlineStr">
        <is>
          <t>상용 여객편 95%+ 상태 커버리지, 일 2,500만 건+ 갱신, 라이브 소스 600개+, 10년+ 이력, 출발 전후 72시간 갱신, 활주로·게이트 예측 ETA, 위성 기반 항공기 추적 항목 포함.</t>
        </is>
      </c>
      <c r="D12" s="10" t="inlineStr">
        <is>
          <t>확인</t>
        </is>
      </c>
      <c r="E12" s="10" t="inlineStr">
        <is>
          <t>https://www.cirium.com/data/flight-tracking-status/</t>
        </is>
      </c>
    </row>
    <row r="13">
      <c r="A13" s="10" t="inlineStr">
        <is>
          <t>Cirium</t>
        </is>
      </c>
      <c r="B13" s="10" t="inlineStr">
        <is>
          <t>제공 방식</t>
        </is>
      </c>
      <c r="C13" s="10" t="inlineStr">
        <is>
          <t>Cirium Sky 데이터 웨어하우스, Sky API(REST, JSON/JSONP/XML/SOAP), Sky Stream(푸시, AMQP), Flight Status·Flight Alert API, 라이브 위치 피드. 자산 추적 UI(Asset Watch, Ground Events) 언급.</t>
        </is>
      </c>
      <c r="D13" s="10" t="inlineStr">
        <is>
          <t>확인</t>
        </is>
      </c>
      <c r="E13" s="10" t="inlineStr">
        <is>
          <t>https://www.cirium.com/data/aviation-api/</t>
        </is>
      </c>
    </row>
    <row r="14">
      <c r="A14" s="15" t="inlineStr">
        <is>
          <t>Cirium</t>
        </is>
      </c>
      <c r="B14" s="15" t="inlineStr">
        <is>
          <t>가격·체험</t>
        </is>
      </c>
      <c r="C14" s="15" t="inlineStr">
        <is>
          <t>가격 공개 없음. Developer Studio에서 평가 계정(무료 체험, 기간 제한)과 문의 안내. 항공 화물 솔루션 페이지는 데모 신청으로 연결.</t>
        </is>
      </c>
      <c r="D14" s="15" t="inlineStr">
        <is>
          <t>견적 필요</t>
        </is>
      </c>
      <c r="E14" s="15" t="inlineStr">
        <is>
          <t>https://www.cirium.com/industry-solutions/air-cargo-logistics/</t>
        </is>
      </c>
    </row>
    <row r="15">
      <c r="A15" s="15" t="inlineStr">
        <is>
          <t>Cirium</t>
        </is>
      </c>
      <c r="B15" s="15" t="inlineStr">
        <is>
          <t>미확인 사항</t>
        </is>
      </c>
      <c r="C15" s="15" t="inlineStr">
        <is>
          <t>단가·약정 조건, 이용약관, 한국 지사 연락처와 지원 시간, 화물 전용기(B747-400F 등) 위치·상태 커버리지, 위성 추적 포함 여부.</t>
        </is>
      </c>
      <c r="D15" s="15" t="inlineStr">
        <is>
          <t>미확인</t>
        </is>
      </c>
      <c r="E15" s="15" t="inlineStr">
        <is>
          <t>https://www.cirium.com/kr/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2" customWidth="1" min="2" max="2"/>
    <col width="30" customWidth="1" min="3" max="3"/>
    <col width="28" customWidth="1" min="4" max="4"/>
    <col width="18" customWidth="1" min="5" max="5"/>
    <col width="70" customWidth="1" min="6" max="6"/>
    <col width="60" customWidth="1" min="7" max="7"/>
    <col width="18" customWidth="1" min="8" max="8"/>
  </cols>
  <sheetData>
    <row r="1">
      <c r="A1" s="1" t="inlineStr">
        <is>
          <t>지역별 커버리지 확인 (중국 중심)</t>
        </is>
      </c>
    </row>
    <row r="2">
      <c r="A2" s="2" t="inlineStr">
        <is>
          <t>구분: 전 지역 / 일부 지역 / 미확인. '자사 주장'은 업체 자료 기준이며 독립 검증이 없음.</t>
        </is>
      </c>
    </row>
    <row r="4">
      <c r="A4" s="18" t="inlineStr">
        <is>
          <t>업체</t>
        </is>
      </c>
      <c r="B4" s="18" t="inlineStr">
        <is>
          <t>전 세계 커버 방식</t>
        </is>
      </c>
      <c r="C4" s="18" t="inlineStr">
        <is>
          <t>대양·극지</t>
        </is>
      </c>
      <c r="D4" s="18" t="inlineStr">
        <is>
          <t>중국 커버리지</t>
        </is>
      </c>
      <c r="E4" s="18" t="inlineStr">
        <is>
          <t>구분</t>
        </is>
      </c>
      <c r="F4" s="18" t="inlineStr">
        <is>
          <t>근거(요약)</t>
        </is>
      </c>
      <c r="G4" s="18" t="inlineStr">
        <is>
          <t>근거 URL</t>
        </is>
      </c>
      <c r="H4" s="18" t="inlineStr">
        <is>
          <t>근거 시점</t>
        </is>
      </c>
    </row>
    <row r="5">
      <c r="A5" s="10" t="inlineStr">
        <is>
          <t>Flightradar24</t>
        </is>
      </c>
      <c r="B5" s="10" t="inlineStr">
        <is>
          <t>지상 수신기 5만+, MLAT, 위성(Aireon), 북미·호주 레이더</t>
        </is>
      </c>
      <c r="C5" s="10" t="inlineStr">
        <is>
          <t>위성(Aireon) 추가로 지상망 밖 보완(2026.2)</t>
        </is>
      </c>
      <c r="D5" s="10" t="inlineStr">
        <is>
          <t>일부 (확인 불가)</t>
        </is>
      </c>
      <c r="E5" s="11" t="inlineStr">
        <is>
          <t>일부 지역</t>
        </is>
      </c>
      <c r="F5" s="10" t="inlineStr">
        <is>
          <t>2021.11 중국 당국이 ADS-B 장비를 압수하고 Flightradar24가 중국 앱스토어에서 제거됐다는 SCMP 보도. 2022.9 중국에 신규 수신기 활성화 블로그. 현재 중국 내 커버율은 공개 자료에서 확인 못 함.</t>
        </is>
      </c>
      <c r="G5" s="10" t="inlineStr">
        <is>
          <t>https://www.scmp.com/tech/policy/article/3155895/chinas-crackdown-flight-tracking-devices-leaves-companies-and-hobbyists</t>
        </is>
      </c>
      <c r="H5" s="10" t="inlineStr">
        <is>
          <t>2021.11 / 2022.9 / 2026.2</t>
        </is>
      </c>
    </row>
    <row r="6">
      <c r="A6" s="10" t="inlineStr">
        <is>
          <t>FlightAware</t>
        </is>
      </c>
      <c r="B6" s="10" t="inlineStr">
        <is>
          <t>지상 41,000+, 데이터링크·ACARS, 레이더, Aireon 위성(Premium·Firehose)</t>
        </is>
      </c>
      <c r="C6" s="10" t="inlineStr">
        <is>
          <t>Firehose: 극지·해양 커버 표방</t>
        </is>
      </c>
      <c r="D6" s="10" t="inlineStr">
        <is>
          <t>일부(지상). 위성 보완은 Premium/Firehose</t>
        </is>
      </c>
      <c r="E6" s="11" t="inlineStr">
        <is>
          <t>일부 지역</t>
        </is>
      </c>
      <c r="F6" s="10" t="inlineStr">
        <is>
          <t>ADS-B 페이지 문구: 'China (except Beijing, Shanghai, Hangzhou, and Hong Kong)'가 커버리지 부족 지역 목록에 있음. 게시 시점은 확인하지 못함.</t>
        </is>
      </c>
      <c r="G6" s="10" t="inlineStr">
        <is>
          <t>https://www.flightaware.com/adsb/</t>
        </is>
      </c>
      <c r="H6" s="10" t="inlineStr">
        <is>
          <t>미상(현재 게시 중)</t>
        </is>
      </c>
    </row>
    <row r="7">
      <c r="A7" s="10" t="inlineStr">
        <is>
          <t>AirNav Radar (RadarBox)</t>
        </is>
      </c>
      <c r="B7" s="10" t="inlineStr">
        <is>
          <t>지상·위성 ADS-B, ADS-C, HFDL 등</t>
        </is>
      </c>
      <c r="C7" s="10" t="inlineStr">
        <is>
          <t>위성 ADS-B·ADS-C·HFDL</t>
        </is>
      </c>
      <c r="D7" s="10" t="inlineStr">
        <is>
          <t>대부분 커버 주장 (자사)</t>
        </is>
      </c>
      <c r="E7" s="16" t="inlineStr">
        <is>
          <t>전 지역 주장(미검증)</t>
        </is>
      </c>
      <c r="F7" s="10" t="inlineStr">
        <is>
          <t>자사 블로그: 중국 내 수신 유닛 2016년 10개 미만에서 2021년 200+, 커버율 90%+ (지상 또는 위성). 최근 수치 미확인.</t>
        </is>
      </c>
      <c r="G7" s="10" t="inlineStr">
        <is>
          <t>https://www.airnavradar.com/blog/ads-b-coverage-in-china</t>
        </is>
      </c>
      <c r="H7" s="10" t="inlineStr">
        <is>
          <t>2021.3</t>
        </is>
      </c>
    </row>
    <row r="8">
      <c r="A8" s="10" t="inlineStr">
        <is>
          <t>ADS-B Exchange</t>
        </is>
      </c>
      <c r="B8" s="10" t="inlineStr">
        <is>
          <t>커뮤니티 수신기 네트워크</t>
        </is>
      </c>
      <c r="C8" s="10" t="inlineStr">
        <is>
          <t>미확인</t>
        </is>
      </c>
      <c r="D8" s="10" t="inlineStr">
        <is>
          <t>미확인</t>
        </is>
      </c>
      <c r="E8" s="11" t="inlineStr">
        <is>
          <t>미확인</t>
        </is>
      </c>
      <c r="F8" s="10" t="inlineStr">
        <is>
          <t>중국 커버리지에 대한 공식 설명 없음. 중국 단속 관련 커뮤니티 논의만 존재.</t>
        </is>
      </c>
      <c r="G8" s="10" t="inlineStr">
        <is>
          <t>https://adsbexchange.com/data/</t>
        </is>
      </c>
      <c r="H8" s="10" t="inlineStr">
        <is>
          <t>-</t>
        </is>
      </c>
    </row>
    <row r="9">
      <c r="A9" s="10" t="inlineStr">
        <is>
          <t>Aireon</t>
        </is>
      </c>
      <c r="B9" s="10" t="inlineStr">
        <is>
          <t>위성 기반 ADS-B</t>
        </is>
      </c>
      <c r="C9" s="10" t="inlineStr">
        <is>
          <t>100% 글로벌(FlightAware 소개 문구), 1분 간격</t>
        </is>
      </c>
      <c r="D9" s="10" t="inlineStr">
        <is>
          <t>미확인</t>
        </is>
      </c>
      <c r="E9" s="11" t="inlineStr">
        <is>
          <t>미확인(위성 전 지구 표방)</t>
        </is>
      </c>
      <c r="F9" s="10" t="inlineStr">
        <is>
          <t>ADS-B Out 장착기만 대상. 중국 공역에서의 데이터 제공 제한 여부는 공개 자료로 확인하지 못함.</t>
        </is>
      </c>
      <c r="G9" s="10" t="inlineStr">
        <is>
          <t>https://www.flightaware.com/commercial/aireon/</t>
        </is>
      </c>
      <c r="H9" s="10" t="inlineStr">
        <is>
          <t>-</t>
        </is>
      </c>
    </row>
    <row r="10">
      <c r="A10" s="10" t="inlineStr">
        <is>
          <t>Cirium</t>
        </is>
      </c>
      <c r="B10" s="10" t="inlineStr">
        <is>
          <t>600+ 라이브 소스, 위성 기반 항적 포함</t>
        </is>
      </c>
      <c r="C10" s="10" t="inlineStr">
        <is>
          <t>위성 항목 포함(세부 미공개)</t>
        </is>
      </c>
      <c r="D10" s="10" t="inlineStr">
        <is>
          <t>미확인</t>
        </is>
      </c>
      <c r="E10" s="11" t="inlineStr">
        <is>
          <t>미확인</t>
        </is>
      </c>
      <c r="F10" s="10" t="inlineStr">
        <is>
          <t>지역별 커버리지는 공개 페이지에 없음. 영업 문의 필요. '상용 여객편 95%+' 표기는 화물기 커버리지를 보장하지 않음.</t>
        </is>
      </c>
      <c r="G10" s="10" t="inlineStr">
        <is>
          <t>https://www.cirium.com/data/flight-tracking-status/</t>
        </is>
      </c>
      <c r="H10" s="10" t="inlineStr">
        <is>
          <t>-</t>
        </is>
      </c>
    </row>
    <row r="12">
      <c r="A12" s="5" t="inlineStr">
        <is>
          <t>※ KCNAIR 관련: 계획 노선 중 ICN-HAN, ICN-ALA, ICN-VIE/HHN(유럽) 등은 항로에 따라 중국 공역을 지나갈 수 있으므로 중국 커버리지가 중요함 (실제 항로는 비행계획 기준으로 확인 필요).</t>
        </is>
      </c>
    </row>
    <row r="13">
      <c r="A13" s="5" t="inlineStr">
        <is>
          <t>※ 자사 항공기는 ACARS·데이터링크·ADS-C 위치보고가 기본이며, 외부 ADS-B 서비스는 중국 구간에서 공백이 있어도 보조 수단으로만 사용.</t>
        </is>
      </c>
    </row>
    <row r="14">
      <c r="A14" s="5" t="inlineStr">
        <is>
          <t>※ 도입 전: 무료체험 기간에 중국 상공을 지나는 실제 화물편으로 위치 갱신 간격과 공백 구간을 직접 테스트할 것.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18" customWidth="1" min="3" max="3"/>
    <col width="16" customWidth="1" min="4" max="4"/>
    <col width="60" customWidth="1" min="5" max="5"/>
  </cols>
  <sheetData>
    <row r="1">
      <c r="A1" s="1" t="inlineStr">
        <is>
          <t>KCNAIR 단계별 도입 시나리오 (제안)</t>
        </is>
      </c>
    </row>
    <row r="3">
      <c r="A3" s="19" t="inlineStr">
        <is>
          <t>단계</t>
        </is>
      </c>
      <c r="B3" s="19" t="inlineStr">
        <is>
          <t>구성</t>
        </is>
      </c>
      <c r="C3" s="19" t="inlineStr">
        <is>
          <t>연간 비용 (USD)</t>
        </is>
      </c>
      <c r="D3" s="19" t="inlineStr">
        <is>
          <t>연간 비용 (만원)</t>
        </is>
      </c>
      <c r="E3" s="19" t="inlineStr">
        <is>
          <t>비고</t>
        </is>
      </c>
    </row>
    <row r="4">
      <c r="A4" s="7" t="inlineStr">
        <is>
          <t>1) AOC 이전 (사람이 보는 모니터링)</t>
        </is>
      </c>
      <c r="B4" s="7" t="inlineStr">
        <is>
          <t>Flightradar24 Business 1계정</t>
        </is>
      </c>
      <c r="C4" s="20">
        <f>'비교표'!I6</f>
        <v/>
      </c>
      <c r="D4" s="21">
        <f>ROUND(C4*'비교표'!$B$3/10000,0)</f>
        <v/>
      </c>
      <c r="E4" s="7" t="inlineStr">
        <is>
          <t>6대(B747 2대+B777 4대) 정도는 플릿 뷰·북마크 60개로 충분</t>
        </is>
      </c>
    </row>
    <row r="5">
      <c r="A5" s="7" t="inlineStr">
        <is>
          <t>2) 시스템 연동 시작</t>
        </is>
      </c>
      <c r="B5" s="7" t="inlineStr">
        <is>
          <t>AirNav Radar API Starter + FlightAware AeroAPI Standard(월 최소)</t>
        </is>
      </c>
      <c r="C5" s="20">
        <f>'비교표'!I15+'비교표'!I11</f>
        <v/>
      </c>
      <c r="D5" s="21">
        <f>ROUND(C5*'비교표'!$B$3/10000,0)</f>
        <v/>
      </c>
      <c r="E5" s="7" t="inlineStr">
        <is>
          <t>두 소스 교차 검증용. 쿼리 요금은 별도</t>
        </is>
      </c>
    </row>
    <row r="6">
      <c r="A6" s="7" t="inlineStr">
        <is>
          <t>3) 상업 운영</t>
        </is>
      </c>
      <c r="B6" s="7" t="inlineStr">
        <is>
          <t>FlightAware AeroAPI Premium(월 최소) + FR24 Business</t>
        </is>
      </c>
      <c r="C6" s="20">
        <f>'비교표'!I12+'비교표'!I6</f>
        <v/>
      </c>
      <c r="D6" s="21">
        <f>ROUND(C6*'비교표'!$B$3/10000,0)</f>
        <v/>
      </c>
      <c r="E6" s="7" t="inlineStr">
        <is>
          <t>Premium은 Aireon·Foresight 포함. 쿼리 요금 별도</t>
        </is>
      </c>
    </row>
    <row r="7">
      <c r="A7" s="7" t="inlineStr">
        <is>
          <t>4) 견적 필요 항목</t>
        </is>
      </c>
      <c r="B7" s="7" t="inlineStr">
        <is>
          <t>Firehose, Cirium, Aireon, ADS-B Exchange</t>
        </is>
      </c>
      <c r="C7" s="21" t="inlineStr">
        <is>
          <t>견적 필요</t>
        </is>
      </c>
      <c r="D7" s="21" t="inlineStr">
        <is>
          <t>견적 필요</t>
        </is>
      </c>
      <c r="E7" s="7" t="inlineStr">
        <is>
          <t>RFP 솔루션(NAVBLUE/Jeppesen)의 모니터링 기능과 중복 여부를 먼저 확인</t>
        </is>
      </c>
    </row>
    <row r="9">
      <c r="A9" s="5" t="inlineStr">
        <is>
          <t>※ 시나리오는 작성자 제안이며 규정 요건 검토 전 단계. 환율은 '비교표'!B3 참조.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2026-10-20T00:55:58Z</dcterms:created>
  <dcterms:modified xmlns:dcterms="http://purl.org/dc/terms/" xmlns:xsi="http://www.w3.org/2001/XMLSchema-instance" xsi:type="dcterms:W3CDTF">2026-10-20T00:55:58Z</dcterms:modified>
</cp:coreProperties>
</file>